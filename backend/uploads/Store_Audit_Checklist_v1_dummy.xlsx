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Process Checklist" sheetId="1" state="visible" r:id="rId3"/>
    <sheet name="1" sheetId="2" state="visible" r:id="rId4"/>
    <sheet name="2" sheetId="3" state="visible" r:id="rId5"/>
    <sheet name="3"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<sst xmlns="http://schemas.openxmlformats.org/spreadsheetml/2006/main" count="407" uniqueCount="170">
  <si>
    <t xml:space="preserve">Process</t>
  </si>
  <si>
    <t xml:space="preserve">Sub-Process</t>
  </si>
  <si>
    <t xml:space="preserve">Question</t>
  </si>
  <si>
    <t xml:space="preserve">Type</t>
  </si>
  <si>
    <t xml:space="preserve">Yes / No / NA</t>
  </si>
  <si>
    <t xml:space="preserve">Remarks</t>
  </si>
  <si>
    <t xml:space="preserve">Photo / Video - Enablement</t>
  </si>
  <si>
    <t xml:space="preserve">Annexure</t>
  </si>
  <si>
    <t xml:space="preserve">Data Analyst Enabled</t>
  </si>
  <si>
    <t xml:space="preserve">Data Analyst_Reference</t>
  </si>
  <si>
    <t xml:space="preserve">Weights</t>
  </si>
  <si>
    <t xml:space="preserve">Cashiering</t>
  </si>
  <si>
    <t xml:space="preserve">Cash sales &amp; Recon</t>
  </si>
  <si>
    <t xml:space="preserve">Whether all cash physically available in the store (i.e. Till cash + Sales cash of previous day, if any + petty cash) match with the books ?
(Take a physical cash stock immediately on visiting the store including all tills &amp; backroom &amp; review it vis-a-viz cash as per books. Prepare a reconciliation statement &amp; take sign off from Store Manager)</t>
  </si>
  <si>
    <t xml:space="preserve">Store Visit</t>
  </si>
  <si>
    <t xml:space="preserve">Yes</t>
  </si>
  <si>
    <t xml:space="preserve">Annexure 1</t>
  </si>
  <si>
    <t xml:space="preserve">Y</t>
  </si>
  <si>
    <t xml:space="preserve">Sheet 1</t>
  </si>
  <si>
    <t xml:space="preserve">Whether Cash sales from Daily Sales Report  agree with cash deposited and submitted to collection agency ?</t>
  </si>
  <si>
    <t xml:space="preserve">Structured data/DA</t>
  </si>
  <si>
    <t xml:space="preserve">No</t>
  </si>
  <si>
    <t xml:space="preserve">Sheet 2</t>
  </si>
  <si>
    <t xml:space="preserve">Cash handover  to collection agency</t>
  </si>
  <si>
    <t xml:space="preserve">Whether the Store team identifies collection agency's agent by Photo Identity Card ?</t>
  </si>
  <si>
    <t xml:space="preserve">Annexure 2</t>
  </si>
  <si>
    <t xml:space="preserve">N</t>
  </si>
  <si>
    <t xml:space="preserve">Whether the photo &amp; specimen signature of the collection agency agent matches with the list as available in stores ?</t>
  </si>
  <si>
    <t xml:space="preserve">Whether  the collection agency has affixed their SEAL as well as signature on the Pay In Slip?</t>
  </si>
  <si>
    <t xml:space="preserve">Whether fake note detectors are available at the store and being used?</t>
  </si>
  <si>
    <t xml:space="preserve">Whether the store is not having any fake/soiled notes?
(If observation is "no", please provide the amount with denominations of fake notes available in the Observations Column)</t>
  </si>
  <si>
    <t xml:space="preserve">Debit/ Credit card  sales</t>
  </si>
  <si>
    <t xml:space="preserve">Whether the  credit card sales from daily sales report  agree with the batch settlement report for EDC payments?</t>
  </si>
  <si>
    <t xml:space="preserve">Annexure 3</t>
  </si>
  <si>
    <t xml:space="preserve">UPI Payments</t>
  </si>
  <si>
    <t xml:space="preserve">Whether the UPI sales from daily sales report  agree with the bank summary ?</t>
  </si>
  <si>
    <t xml:space="preserve">Annexure 4</t>
  </si>
  <si>
    <t xml:space="preserve">Credit Notes Issuance</t>
  </si>
  <si>
    <t xml:space="preserve">Whether no manual credit note is issued ? All credit should be issued via POS
(If manual credit note is issued, is the same updated in the system immediately or same day and system credit note number is written on the manual credit note)
Whether written communication either on mail or otherwise is available regarding issuance of manual credit note from HO or cluster ?</t>
  </si>
  <si>
    <t xml:space="preserve">Unstructured data</t>
  </si>
  <si>
    <t xml:space="preserve">Annexure 5</t>
  </si>
  <si>
    <t xml:space="preserve">Whether any instance noted for 'Sales returns processed more than original billed quantity or Sales returns processed more than original billed amount'</t>
  </si>
  <si>
    <t xml:space="preserve">Whether Sales returns processed for ineligible items or Sales returns processed after specified days like as per policy after 14 days no sales return is allowed</t>
  </si>
  <si>
    <t xml:space="preserve">Whether the security prepares a receipt for goods to be taken inside the store?</t>
  </si>
  <si>
    <t xml:space="preserve">Whether the number and count of SKUs as per the gate pass match with the entries in the Credit Note Register with Customer Service Desk?</t>
  </si>
  <si>
    <t xml:space="preserve">Supporting mail/approval not available</t>
  </si>
  <si>
    <t xml:space="preserve">Schemes and Promotions</t>
  </si>
  <si>
    <t xml:space="preserve">Check the time gap between scheme creation &amp; scheme start date, schemes running beyond end dates. Verify at store in POS if active schemes and promotions are available.</t>
  </si>
  <si>
    <t xml:space="preserve">NA</t>
  </si>
  <si>
    <t xml:space="preserve">Not applicable to this store format</t>
  </si>
  <si>
    <t xml:space="preserve">Annexure 6</t>
  </si>
  <si>
    <t xml:space="preserve">Scheme Authorization</t>
  </si>
  <si>
    <t xml:space="preserve">Are all running promotions/schemes authorized by the HO and documented?</t>
  </si>
  <si>
    <t xml:space="preserve">Annexure 7</t>
  </si>
  <si>
    <t xml:space="preserve">Are scheme discounts applied correctly at the billing counter as per HO circular?</t>
  </si>
  <si>
    <t xml:space="preserve">Are expired/discontinued schemes removed from the system and POS promptly?</t>
  </si>
  <si>
    <t xml:space="preserve">Scheme Execution</t>
  </si>
  <si>
    <t xml:space="preserve">Are free/sample items issued under promotions tracked and reconciled against scheme allocation?</t>
  </si>
  <si>
    <t xml:space="preserve">Annexure 8</t>
  </si>
  <si>
    <t xml:space="preserve">Inventory Management</t>
  </si>
  <si>
    <t xml:space="preserve">Expiry &amp; Shelf Life</t>
  </si>
  <si>
    <t xml:space="preserve">Is the FIFO (First In First Out) method followed for all perishable and near-expiry inventory?</t>
  </si>
  <si>
    <t xml:space="preserve">Annexure 9</t>
  </si>
  <si>
    <t xml:space="preserve">Sheet 3</t>
  </si>
  <si>
    <t xml:space="preserve">Are expired products identified, segregated, and removed from the sales floor?</t>
  </si>
  <si>
    <t xml:space="preserve">Is a near-expiry review conducted weekly and documented in the expiry tracker?</t>
  </si>
  <si>
    <t xml:space="preserve">Stock Accuracy</t>
  </si>
  <si>
    <t xml:space="preserve">Is the system stock count matching with the physical stock for sampled SKUs?</t>
  </si>
  <si>
    <t xml:space="preserve">Annexure 10</t>
  </si>
  <si>
    <t xml:space="preserve">Are damaged/defective items logged in the shrinkage register and segregated?</t>
  </si>
  <si>
    <t xml:space="preserve">Receiving &amp; GRN</t>
  </si>
  <si>
    <t xml:space="preserve">Is the receiving dock process followed — GRN matched with PO and invoice?</t>
  </si>
  <si>
    <t xml:space="preserve">Annexure 11</t>
  </si>
  <si>
    <t xml:space="preserve">EHS &amp; Compliance</t>
  </si>
  <si>
    <t xml:space="preserve">Fire Safety</t>
  </si>
  <si>
    <t xml:space="preserve">Are fire extinguishers serviced, accessible, and within validity?</t>
  </si>
  <si>
    <t xml:space="preserve">Annexure 12</t>
  </si>
  <si>
    <t xml:space="preserve">Are emergency exits clearly marked, unobstructed, and functional?</t>
  </si>
  <si>
    <t xml:space="preserve">Is periodic fire drill conducted and documented as per norms?</t>
  </si>
  <si>
    <t xml:space="preserve">Hygiene &amp; Housekeeping</t>
  </si>
  <si>
    <t xml:space="preserve">Is housekeeping checklist followed and signed off daily?</t>
  </si>
  <si>
    <t xml:space="preserve">Annexure 13</t>
  </si>
  <si>
    <t xml:space="preserve">Are pest control measures in place and pest control records maintained?</t>
  </si>
  <si>
    <t xml:space="preserve">Regulatory Compliance</t>
  </si>
  <si>
    <t xml:space="preserve">Are FSSAI/trade licenses displayed and within validity?</t>
  </si>
  <si>
    <t xml:space="preserve">Annexure 14</t>
  </si>
  <si>
    <t xml:space="preserve">Are staff trained on food safety and hygiene practices with training records maintained?</t>
  </si>
  <si>
    <t xml:space="preserve">Whether short/excess receipts against STN are reported to the warehouse within 24 hours of receipt?</t>
  </si>
  <si>
    <t xml:space="preserve">Partial records only</t>
  </si>
  <si>
    <t xml:space="preserve">Whether negative stock items appear in the system stock report as on the date of visit?</t>
  </si>
  <si>
    <t xml:space="preserve">Store Operations</t>
  </si>
  <si>
    <t xml:space="preserve">Opening &amp; Closing</t>
  </si>
  <si>
    <t xml:space="preserve">Whether the store opening and closing checklist is filled and signed by the duty manager daily?</t>
  </si>
  <si>
    <t xml:space="preserve">Annexure 15</t>
  </si>
  <si>
    <t xml:space="preserve">Whether store keys are held by two authorised employees and the key movement register is updated?</t>
  </si>
  <si>
    <t xml:space="preserve">Pricing &amp; Labelling</t>
  </si>
  <si>
    <t xml:space="preserve">Whether shelf-edge labels match the POS price for sampled articles (minimum 25 SKUs)?</t>
  </si>
  <si>
    <t xml:space="preserve">Annexure 16</t>
  </si>
  <si>
    <t xml:space="preserve">Whether MRP, net quantity and manufacturer details are present on all sampled packaged articles?</t>
  </si>
  <si>
    <t xml:space="preserve">Manpower</t>
  </si>
  <si>
    <t xml:space="preserve">Whether the attendance register / biometric records match the manpower physically present during the visit?</t>
  </si>
  <si>
    <t xml:space="preserve">Annexure 17</t>
  </si>
  <si>
    <t xml:space="preserve">CCTV &amp; Security</t>
  </si>
  <si>
    <t xml:space="preserve">Whether all CCTV cameras are functional and recording backup of at least 30 days is available?</t>
  </si>
  <si>
    <t xml:space="preserve">Annexure 18</t>
  </si>
  <si>
    <t xml:space="preserve">Particulars</t>
  </si>
  <si>
    <t xml:space="preserve">Amount (Rs.)</t>
  </si>
  <si>
    <t xml:space="preserve">A</t>
  </si>
  <si>
    <t xml:space="preserve">Physically Available Cash in hand</t>
  </si>
  <si>
    <t xml:space="preserve">Cash at Tills</t>
  </si>
  <si>
    <t xml:space="preserve">Cash in Safe</t>
  </si>
  <si>
    <t xml:space="preserve">Any other place</t>
  </si>
  <si>
    <t xml:space="preserve">B</t>
  </si>
  <si>
    <t xml:space="preserve">Book Cash</t>
  </si>
  <si>
    <t xml:space="preserve">Cash Sales as per sales Report</t>
  </si>
  <si>
    <t xml:space="preserve">Float and Imprest allocated to the store as per Master</t>
  </si>
  <si>
    <t xml:space="preserve">C</t>
  </si>
  <si>
    <t xml:space="preserve">Difference (A-B)</t>
  </si>
  <si>
    <t xml:space="preserve">Matching of cash sales with cash deposits</t>
  </si>
  <si>
    <t xml:space="preserve">Sales Date (A)</t>
  </si>
  <si>
    <t xml:space="preserve">Cash Sales (B)</t>
  </si>
  <si>
    <t xml:space="preserve">Cash Deposited (c)</t>
  </si>
  <si>
    <t xml:space="preserve">Difference (B-C)</t>
  </si>
  <si>
    <t xml:space="preserve">CMS Pick Up date (D)</t>
  </si>
  <si>
    <t xml:space="preserve">Delay in cash handover (A-D)</t>
  </si>
  <si>
    <t xml:space="preserve">Short deposit - 3 soiled notes of Rs.500 rejected by CMS</t>
  </si>
  <si>
    <t xml:space="preserve">CMS pick-up missed on weekend; handed over Monday</t>
  </si>
  <si>
    <t xml:space="preserve">Independence Day holiday - no CMS pick-up</t>
  </si>
  <si>
    <t xml:space="preserve">Holiday backlog</t>
  </si>
  <si>
    <t xml:space="preserve">Excess deposited; cashier rounding error</t>
  </si>
  <si>
    <t xml:space="preserve">Cash retained for change requirement; approved by cluster manager</t>
  </si>
  <si>
    <t xml:space="preserve">Expired Inventory Listing</t>
  </si>
  <si>
    <t xml:space="preserve">Article Code</t>
  </si>
  <si>
    <t xml:space="preserve">Article Description</t>
  </si>
  <si>
    <t xml:space="preserve">Expiry Date</t>
  </si>
  <si>
    <t xml:space="preserve">Review Date</t>
  </si>
  <si>
    <t xml:space="preserve">Quantity</t>
  </si>
  <si>
    <t xml:space="preserve">MRP</t>
  </si>
  <si>
    <t xml:space="preserve">100245871</t>
  </si>
  <si>
    <t xml:space="preserve">Whole Wheat Bread 400g</t>
  </si>
  <si>
    <t xml:space="preserve">100318820</t>
  </si>
  <si>
    <t xml:space="preserve">Toned Milk Tetra 1L</t>
  </si>
  <si>
    <t xml:space="preserve">100402213</t>
  </si>
  <si>
    <t xml:space="preserve">Salted Butter 100g</t>
  </si>
  <si>
    <t xml:space="preserve">100517765</t>
  </si>
  <si>
    <t xml:space="preserve">Mango Fruit Drink 600ml</t>
  </si>
  <si>
    <t xml:space="preserve">100623391</t>
  </si>
  <si>
    <t xml:space="preserve">Instant Noodles Masala 4-pack</t>
  </si>
  <si>
    <t xml:space="preserve">100734408</t>
  </si>
  <si>
    <t xml:space="preserve">Greek Yogurt Blueberry 90g</t>
  </si>
  <si>
    <t xml:space="preserve">100845512</t>
  </si>
  <si>
    <t xml:space="preserve">Paneer Fresh 200g</t>
  </si>
  <si>
    <t xml:space="preserve">100956673</t>
  </si>
  <si>
    <t xml:space="preserve">Multigrain Cookies 150g</t>
  </si>
  <si>
    <t xml:space="preserve">101067789</t>
  </si>
  <si>
    <t xml:space="preserve">Tomato Ketchup 500g</t>
  </si>
  <si>
    <t xml:space="preserve">101178894</t>
  </si>
  <si>
    <t xml:space="preserve">Breakfast Cereal Choco 375g</t>
  </si>
  <si>
    <t xml:space="preserve">101289905</t>
  </si>
  <si>
    <t xml:space="preserve">Baby Wipes 72 pcs</t>
  </si>
  <si>
    <t xml:space="preserve">101390016</t>
  </si>
  <si>
    <t xml:space="preserve">Cold Pressed Coconut Oil 250ml</t>
  </si>
  <si>
    <t xml:space="preserve">101401127</t>
  </si>
  <si>
    <t xml:space="preserve">Protein Bar Almond 40g</t>
  </si>
  <si>
    <t xml:space="preserve">101512238</t>
  </si>
  <si>
    <t xml:space="preserve">Frozen Green Peas 500g</t>
  </si>
  <si>
    <t xml:space="preserve">101623349</t>
  </si>
  <si>
    <t xml:space="preserve">Face Wash Neem 100ml</t>
  </si>
  <si>
    <t xml:space="preserve">101734450</t>
  </si>
  <si>
    <t xml:space="preserve">Cheese Slices 200g</t>
  </si>
</sst>
</file>

<file path=xl/styles.xml><?xml version="1.0" encoding="utf-8"?>
<styleSheet xmlns="http://schemas.openxmlformats.org/spreadsheetml/2006/main">
  <numFmts count="5">
    <numFmt numFmtId="164" formatCode="General"/>
    <numFmt numFmtId="165" formatCode="#,##0"/>
    <numFmt numFmtId="166" formatCode="d\-mmm\-yy"/>
    <numFmt numFmtId="167" formatCode="0"/>
    <numFmt numFmtId="168" formatCode="dd\-mmm\-yy"/>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b val="true"/>
      <u val="singl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D966"/>
        <bgColor rgb="FFFFFF99"/>
      </patternFill>
    </fill>
    <fill>
      <patternFill patternType="solid">
        <fgColor rgb="FFD9D9D9"/>
        <bgColor rgb="FFC0C0C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80"/>
    <col collapsed="false" customWidth="true" hidden="false" outlineLevel="0" max="4" min="4" style="0" width="18"/>
    <col collapsed="false" customWidth="true" hidden="false" outlineLevel="0" max="5" min="5" style="0" width="14"/>
    <col collapsed="false" customWidth="true" hidden="false" outlineLevel="0" max="6" min="6" style="0" width="42"/>
    <col collapsed="false" customWidth="true" hidden="false" outlineLevel="0" max="7" min="7" style="0" width="16"/>
    <col collapsed="false" customWidth="true" hidden="false" outlineLevel="0" max="9" min="8" style="0" width="14"/>
    <col collapsed="false" customWidth="true" hidden="false" outlineLevel="0" max="10" min="10" style="0" width="16"/>
    <col collapsed="false" customWidth="true" hidden="false" outlineLevel="0" max="11" min="11" style="0" width="10"/>
  </cols>
  <sheetData>
    <row r="2" customFormat="false" ht="35.05" hidden="false" customHeight="false" outlineLevel="0" collapsed="false">
      <c r="A2" s="1" t="s">
        <v>0</v>
      </c>
      <c r="B2" s="1" t="s">
        <v>1</v>
      </c>
      <c r="C2" s="1" t="s">
        <v>2</v>
      </c>
      <c r="D2" s="1" t="s">
        <v>3</v>
      </c>
      <c r="E2" s="1" t="s">
        <v>4</v>
      </c>
      <c r="F2" s="1" t="s">
        <v>5</v>
      </c>
      <c r="G2" s="1" t="s">
        <v>6</v>
      </c>
      <c r="H2" s="1" t="s">
        <v>7</v>
      </c>
      <c r="I2" s="1" t="s">
        <v>8</v>
      </c>
      <c r="J2" s="1" t="s">
        <v>9</v>
      </c>
      <c r="K2" s="1" t="s">
        <v>10</v>
      </c>
    </row>
    <row r="3" customFormat="false" ht="90" hidden="false" customHeight="true" outlineLevel="0" collapsed="false">
      <c r="A3" s="2" t="s">
        <v>11</v>
      </c>
      <c r="B3" s="2" t="s">
        <v>12</v>
      </c>
      <c r="C3" s="2" t="s">
        <v>13</v>
      </c>
      <c r="D3" s="3" t="s">
        <v>14</v>
      </c>
      <c r="E3" s="3" t="s">
        <v>15</v>
      </c>
      <c r="F3" s="2"/>
      <c r="G3" s="3" t="s">
        <v>15</v>
      </c>
      <c r="H3" s="3" t="s">
        <v>16</v>
      </c>
      <c r="I3" s="3" t="s">
        <v>17</v>
      </c>
      <c r="J3" s="3" t="s">
        <v>18</v>
      </c>
      <c r="K3" s="3" t="n">
        <v>5</v>
      </c>
    </row>
    <row r="4" customFormat="false" ht="30" hidden="false" customHeight="true" outlineLevel="0" collapsed="false">
      <c r="A4" s="2" t="s">
        <v>11</v>
      </c>
      <c r="B4" s="2" t="s">
        <v>12</v>
      </c>
      <c r="C4" s="2" t="s">
        <v>19</v>
      </c>
      <c r="D4" s="3" t="s">
        <v>20</v>
      </c>
      <c r="E4" s="3" t="s">
        <v>15</v>
      </c>
      <c r="F4" s="2"/>
      <c r="G4" s="3" t="s">
        <v>21</v>
      </c>
      <c r="H4" s="3" t="s">
        <v>16</v>
      </c>
      <c r="I4" s="3" t="s">
        <v>17</v>
      </c>
      <c r="J4" s="3" t="s">
        <v>22</v>
      </c>
      <c r="K4" s="3" t="n">
        <v>5</v>
      </c>
    </row>
    <row r="5" customFormat="false" ht="30" hidden="false" customHeight="true" outlineLevel="0" collapsed="false">
      <c r="A5" s="2" t="s">
        <v>11</v>
      </c>
      <c r="B5" s="2" t="s">
        <v>23</v>
      </c>
      <c r="C5" s="2" t="s">
        <v>24</v>
      </c>
      <c r="D5" s="3" t="s">
        <v>14</v>
      </c>
      <c r="E5" s="3" t="s">
        <v>15</v>
      </c>
      <c r="F5" s="2"/>
      <c r="G5" s="3" t="s">
        <v>15</v>
      </c>
      <c r="H5" s="3" t="s">
        <v>25</v>
      </c>
      <c r="I5" s="3" t="s">
        <v>26</v>
      </c>
      <c r="J5" s="3"/>
      <c r="K5" s="3" t="n">
        <v>3</v>
      </c>
    </row>
    <row r="6" customFormat="false" ht="30" hidden="false" customHeight="true" outlineLevel="0" collapsed="false">
      <c r="A6" s="2" t="s">
        <v>11</v>
      </c>
      <c r="B6" s="2" t="s">
        <v>23</v>
      </c>
      <c r="C6" s="2" t="s">
        <v>27</v>
      </c>
      <c r="D6" s="3" t="s">
        <v>14</v>
      </c>
      <c r="E6" s="3" t="s">
        <v>15</v>
      </c>
      <c r="F6" s="2"/>
      <c r="G6" s="3" t="s">
        <v>15</v>
      </c>
      <c r="H6" s="3" t="s">
        <v>25</v>
      </c>
      <c r="I6" s="3" t="s">
        <v>26</v>
      </c>
      <c r="J6" s="3"/>
      <c r="K6" s="3" t="n">
        <v>3</v>
      </c>
    </row>
    <row r="7" customFormat="false" ht="30" hidden="false" customHeight="true" outlineLevel="0" collapsed="false">
      <c r="A7" s="2" t="s">
        <v>11</v>
      </c>
      <c r="B7" s="2" t="s">
        <v>23</v>
      </c>
      <c r="C7" s="2" t="s">
        <v>28</v>
      </c>
      <c r="D7" s="3" t="s">
        <v>20</v>
      </c>
      <c r="E7" s="3" t="s">
        <v>15</v>
      </c>
      <c r="F7" s="2"/>
      <c r="G7" s="3" t="s">
        <v>21</v>
      </c>
      <c r="H7" s="3" t="s">
        <v>25</v>
      </c>
      <c r="I7" s="3" t="s">
        <v>17</v>
      </c>
      <c r="J7" s="3" t="s">
        <v>22</v>
      </c>
      <c r="K7" s="3" t="n">
        <v>4</v>
      </c>
    </row>
    <row r="8" customFormat="false" ht="30" hidden="false" customHeight="true" outlineLevel="0" collapsed="false">
      <c r="A8" s="2" t="s">
        <v>11</v>
      </c>
      <c r="B8" s="2" t="s">
        <v>23</v>
      </c>
      <c r="C8" s="2" t="s">
        <v>29</v>
      </c>
      <c r="D8" s="3" t="s">
        <v>14</v>
      </c>
      <c r="E8" s="3" t="s">
        <v>15</v>
      </c>
      <c r="F8" s="2"/>
      <c r="G8" s="3" t="s">
        <v>15</v>
      </c>
      <c r="H8" s="3" t="s">
        <v>25</v>
      </c>
      <c r="I8" s="3" t="s">
        <v>26</v>
      </c>
      <c r="J8" s="3"/>
      <c r="K8" s="3" t="n">
        <v>3</v>
      </c>
    </row>
    <row r="9" customFormat="false" ht="60" hidden="false" customHeight="true" outlineLevel="0" collapsed="false">
      <c r="A9" s="2" t="s">
        <v>11</v>
      </c>
      <c r="B9" s="2" t="s">
        <v>23</v>
      </c>
      <c r="C9" s="2" t="s">
        <v>30</v>
      </c>
      <c r="D9" s="3" t="s">
        <v>14</v>
      </c>
      <c r="E9" s="3" t="s">
        <v>15</v>
      </c>
      <c r="F9" s="2"/>
      <c r="G9" s="3" t="s">
        <v>15</v>
      </c>
      <c r="H9" s="3" t="s">
        <v>25</v>
      </c>
      <c r="I9" s="3" t="s">
        <v>26</v>
      </c>
      <c r="J9" s="3"/>
      <c r="K9" s="3" t="n">
        <v>4</v>
      </c>
    </row>
    <row r="10" customFormat="false" ht="30" hidden="false" customHeight="true" outlineLevel="0" collapsed="false">
      <c r="A10" s="2" t="s">
        <v>11</v>
      </c>
      <c r="B10" s="2" t="s">
        <v>31</v>
      </c>
      <c r="C10" s="2" t="s">
        <v>32</v>
      </c>
      <c r="D10" s="3" t="s">
        <v>20</v>
      </c>
      <c r="E10" s="3" t="s">
        <v>15</v>
      </c>
      <c r="F10" s="2"/>
      <c r="G10" s="3" t="s">
        <v>21</v>
      </c>
      <c r="H10" s="3" t="s">
        <v>33</v>
      </c>
      <c r="I10" s="3" t="s">
        <v>17</v>
      </c>
      <c r="J10" s="3"/>
      <c r="K10" s="3" t="n">
        <v>4</v>
      </c>
    </row>
    <row r="11" customFormat="false" ht="30" hidden="false" customHeight="true" outlineLevel="0" collapsed="false">
      <c r="A11" s="2" t="s">
        <v>11</v>
      </c>
      <c r="B11" s="2" t="s">
        <v>34</v>
      </c>
      <c r="C11" s="2" t="s">
        <v>35</v>
      </c>
      <c r="D11" s="3" t="s">
        <v>20</v>
      </c>
      <c r="E11" s="3" t="s">
        <v>15</v>
      </c>
      <c r="F11" s="2"/>
      <c r="G11" s="3" t="s">
        <v>21</v>
      </c>
      <c r="H11" s="3" t="s">
        <v>36</v>
      </c>
      <c r="I11" s="3" t="s">
        <v>17</v>
      </c>
      <c r="J11" s="3"/>
      <c r="K11" s="3" t="n">
        <v>4</v>
      </c>
    </row>
    <row r="12" customFormat="false" ht="105" hidden="false" customHeight="true" outlineLevel="0" collapsed="false">
      <c r="A12" s="2" t="s">
        <v>11</v>
      </c>
      <c r="B12" s="2" t="s">
        <v>37</v>
      </c>
      <c r="C12" s="2" t="s">
        <v>38</v>
      </c>
      <c r="D12" s="3" t="s">
        <v>39</v>
      </c>
      <c r="E12" s="3" t="s">
        <v>15</v>
      </c>
      <c r="F12" s="2"/>
      <c r="G12" s="3" t="s">
        <v>21</v>
      </c>
      <c r="H12" s="3" t="s">
        <v>40</v>
      </c>
      <c r="I12" s="3" t="s">
        <v>26</v>
      </c>
      <c r="J12" s="3"/>
      <c r="K12" s="3" t="n">
        <v>5</v>
      </c>
    </row>
    <row r="13" customFormat="false" ht="45" hidden="false" customHeight="true" outlineLevel="0" collapsed="false">
      <c r="A13" s="2" t="s">
        <v>11</v>
      </c>
      <c r="B13" s="2" t="s">
        <v>37</v>
      </c>
      <c r="C13" s="2" t="s">
        <v>41</v>
      </c>
      <c r="D13" s="3" t="s">
        <v>20</v>
      </c>
      <c r="E13" s="3" t="s">
        <v>15</v>
      </c>
      <c r="F13" s="2"/>
      <c r="G13" s="3" t="s">
        <v>21</v>
      </c>
      <c r="H13" s="3" t="s">
        <v>40</v>
      </c>
      <c r="I13" s="3" t="s">
        <v>17</v>
      </c>
      <c r="J13" s="3"/>
      <c r="K13" s="3" t="n">
        <v>5</v>
      </c>
    </row>
    <row r="14" customFormat="false" ht="45" hidden="false" customHeight="true" outlineLevel="0" collapsed="false">
      <c r="A14" s="2" t="s">
        <v>11</v>
      </c>
      <c r="B14" s="2" t="s">
        <v>37</v>
      </c>
      <c r="C14" s="2" t="s">
        <v>42</v>
      </c>
      <c r="D14" s="3" t="s">
        <v>20</v>
      </c>
      <c r="E14" s="3" t="s">
        <v>15</v>
      </c>
      <c r="F14" s="2"/>
      <c r="G14" s="3" t="s">
        <v>21</v>
      </c>
      <c r="H14" s="3" t="s">
        <v>40</v>
      </c>
      <c r="I14" s="3" t="s">
        <v>17</v>
      </c>
      <c r="J14" s="3"/>
      <c r="K14" s="3" t="n">
        <v>4</v>
      </c>
    </row>
    <row r="15" customFormat="false" ht="30" hidden="false" customHeight="true" outlineLevel="0" collapsed="false">
      <c r="A15" s="2" t="s">
        <v>11</v>
      </c>
      <c r="B15" s="2" t="s">
        <v>37</v>
      </c>
      <c r="C15" s="2" t="s">
        <v>43</v>
      </c>
      <c r="D15" s="3" t="s">
        <v>14</v>
      </c>
      <c r="E15" s="3" t="s">
        <v>15</v>
      </c>
      <c r="F15" s="2"/>
      <c r="G15" s="3" t="s">
        <v>15</v>
      </c>
      <c r="H15" s="3" t="s">
        <v>40</v>
      </c>
      <c r="I15" s="3" t="s">
        <v>26</v>
      </c>
      <c r="J15" s="3"/>
      <c r="K15" s="3" t="n">
        <v>2</v>
      </c>
    </row>
    <row r="16" customFormat="false" ht="30" hidden="false" customHeight="true" outlineLevel="0" collapsed="false">
      <c r="A16" s="2" t="s">
        <v>11</v>
      </c>
      <c r="B16" s="2" t="s">
        <v>37</v>
      </c>
      <c r="C16" s="2" t="s">
        <v>44</v>
      </c>
      <c r="D16" s="3" t="s">
        <v>39</v>
      </c>
      <c r="E16" s="3" t="s">
        <v>21</v>
      </c>
      <c r="F16" s="2" t="s">
        <v>45</v>
      </c>
      <c r="G16" s="3" t="s">
        <v>21</v>
      </c>
      <c r="H16" s="3" t="s">
        <v>40</v>
      </c>
      <c r="I16" s="3" t="s">
        <v>26</v>
      </c>
      <c r="J16" s="3"/>
      <c r="K16" s="3" t="n">
        <v>3</v>
      </c>
    </row>
    <row r="17" customFormat="false" ht="45" hidden="false" customHeight="true" outlineLevel="0" collapsed="false">
      <c r="A17" s="2" t="s">
        <v>11</v>
      </c>
      <c r="B17" s="2" t="s">
        <v>46</v>
      </c>
      <c r="C17" s="2" t="s">
        <v>47</v>
      </c>
      <c r="D17" s="3" t="s">
        <v>39</v>
      </c>
      <c r="E17" s="3" t="s">
        <v>48</v>
      </c>
      <c r="F17" s="2" t="s">
        <v>49</v>
      </c>
      <c r="G17" s="3" t="s">
        <v>21</v>
      </c>
      <c r="H17" s="3" t="s">
        <v>50</v>
      </c>
      <c r="I17" s="3" t="s">
        <v>26</v>
      </c>
      <c r="J17" s="3"/>
      <c r="K17" s="3" t="n">
        <v>3</v>
      </c>
    </row>
    <row r="18" customFormat="false" ht="30" hidden="false" customHeight="true" outlineLevel="0" collapsed="false">
      <c r="A18" s="2" t="s">
        <v>46</v>
      </c>
      <c r="B18" s="2" t="s">
        <v>51</v>
      </c>
      <c r="C18" s="2" t="s">
        <v>52</v>
      </c>
      <c r="D18" s="3" t="s">
        <v>14</v>
      </c>
      <c r="E18" s="3" t="s">
        <v>15</v>
      </c>
      <c r="F18" s="2"/>
      <c r="G18" s="3" t="s">
        <v>15</v>
      </c>
      <c r="H18" s="3" t="s">
        <v>53</v>
      </c>
      <c r="I18" s="3" t="s">
        <v>26</v>
      </c>
      <c r="J18" s="3"/>
      <c r="K18" s="3" t="n">
        <v>4</v>
      </c>
    </row>
    <row r="19" customFormat="false" ht="30" hidden="false" customHeight="true" outlineLevel="0" collapsed="false">
      <c r="A19" s="2" t="s">
        <v>46</v>
      </c>
      <c r="B19" s="2" t="s">
        <v>51</v>
      </c>
      <c r="C19" s="2" t="s">
        <v>54</v>
      </c>
      <c r="D19" s="3" t="s">
        <v>14</v>
      </c>
      <c r="E19" s="3" t="s">
        <v>15</v>
      </c>
      <c r="F19" s="2"/>
      <c r="G19" s="3" t="s">
        <v>15</v>
      </c>
      <c r="H19" s="3" t="s">
        <v>53</v>
      </c>
      <c r="I19" s="3" t="s">
        <v>26</v>
      </c>
      <c r="J19" s="3"/>
      <c r="K19" s="3" t="n">
        <v>4</v>
      </c>
    </row>
    <row r="20" customFormat="false" ht="30" hidden="false" customHeight="true" outlineLevel="0" collapsed="false">
      <c r="A20" s="2" t="s">
        <v>46</v>
      </c>
      <c r="B20" s="2" t="s">
        <v>51</v>
      </c>
      <c r="C20" s="2" t="s">
        <v>55</v>
      </c>
      <c r="D20" s="3" t="s">
        <v>14</v>
      </c>
      <c r="E20" s="3" t="s">
        <v>15</v>
      </c>
      <c r="F20" s="2"/>
      <c r="G20" s="3" t="s">
        <v>15</v>
      </c>
      <c r="H20" s="3" t="s">
        <v>53</v>
      </c>
      <c r="I20" s="3" t="s">
        <v>26</v>
      </c>
      <c r="J20" s="3"/>
      <c r="K20" s="3" t="n">
        <v>3</v>
      </c>
    </row>
    <row r="21" customFormat="false" ht="30" hidden="false" customHeight="true" outlineLevel="0" collapsed="false">
      <c r="A21" s="2" t="s">
        <v>46</v>
      </c>
      <c r="B21" s="2" t="s">
        <v>56</v>
      </c>
      <c r="C21" s="2" t="s">
        <v>57</v>
      </c>
      <c r="D21" s="3" t="s">
        <v>39</v>
      </c>
      <c r="E21" s="3" t="s">
        <v>15</v>
      </c>
      <c r="F21" s="2"/>
      <c r="G21" s="3" t="s">
        <v>21</v>
      </c>
      <c r="H21" s="3" t="s">
        <v>58</v>
      </c>
      <c r="I21" s="3" t="s">
        <v>26</v>
      </c>
      <c r="J21" s="3"/>
      <c r="K21" s="3" t="n">
        <v>3</v>
      </c>
    </row>
    <row r="22" customFormat="false" ht="30" hidden="false" customHeight="true" outlineLevel="0" collapsed="false">
      <c r="A22" s="2" t="s">
        <v>59</v>
      </c>
      <c r="B22" s="2" t="s">
        <v>60</v>
      </c>
      <c r="C22" s="2" t="s">
        <v>61</v>
      </c>
      <c r="D22" s="3" t="s">
        <v>14</v>
      </c>
      <c r="E22" s="3" t="s">
        <v>15</v>
      </c>
      <c r="F22" s="2"/>
      <c r="G22" s="3" t="s">
        <v>15</v>
      </c>
      <c r="H22" s="3" t="s">
        <v>62</v>
      </c>
      <c r="I22" s="3" t="s">
        <v>17</v>
      </c>
      <c r="J22" s="3" t="s">
        <v>63</v>
      </c>
      <c r="K22" s="3" t="n">
        <v>5</v>
      </c>
    </row>
    <row r="23" customFormat="false" ht="30" hidden="false" customHeight="true" outlineLevel="0" collapsed="false">
      <c r="A23" s="2" t="s">
        <v>59</v>
      </c>
      <c r="B23" s="2" t="s">
        <v>60</v>
      </c>
      <c r="C23" s="2" t="s">
        <v>64</v>
      </c>
      <c r="D23" s="3" t="s">
        <v>14</v>
      </c>
      <c r="E23" s="3" t="s">
        <v>15</v>
      </c>
      <c r="F23" s="2"/>
      <c r="G23" s="3" t="s">
        <v>15</v>
      </c>
      <c r="H23" s="3" t="s">
        <v>62</v>
      </c>
      <c r="I23" s="3" t="s">
        <v>17</v>
      </c>
      <c r="J23" s="3" t="s">
        <v>63</v>
      </c>
      <c r="K23" s="3" t="n">
        <v>5</v>
      </c>
    </row>
    <row r="24" customFormat="false" ht="30" hidden="false" customHeight="true" outlineLevel="0" collapsed="false">
      <c r="A24" s="2" t="s">
        <v>59</v>
      </c>
      <c r="B24" s="2" t="s">
        <v>60</v>
      </c>
      <c r="C24" s="2" t="s">
        <v>65</v>
      </c>
      <c r="D24" s="3" t="s">
        <v>20</v>
      </c>
      <c r="E24" s="3" t="s">
        <v>15</v>
      </c>
      <c r="F24" s="2"/>
      <c r="G24" s="3" t="s">
        <v>21</v>
      </c>
      <c r="H24" s="3" t="s">
        <v>62</v>
      </c>
      <c r="I24" s="3" t="s">
        <v>17</v>
      </c>
      <c r="J24" s="3" t="s">
        <v>63</v>
      </c>
      <c r="K24" s="3" t="n">
        <v>4</v>
      </c>
    </row>
    <row r="25" customFormat="false" ht="30" hidden="false" customHeight="true" outlineLevel="0" collapsed="false">
      <c r="A25" s="2" t="s">
        <v>59</v>
      </c>
      <c r="B25" s="2" t="s">
        <v>66</v>
      </c>
      <c r="C25" s="2" t="s">
        <v>67</v>
      </c>
      <c r="D25" s="3" t="s">
        <v>14</v>
      </c>
      <c r="E25" s="3" t="s">
        <v>15</v>
      </c>
      <c r="F25" s="2"/>
      <c r="G25" s="3" t="s">
        <v>15</v>
      </c>
      <c r="H25" s="3" t="s">
        <v>68</v>
      </c>
      <c r="I25" s="3" t="s">
        <v>26</v>
      </c>
      <c r="J25" s="3"/>
      <c r="K25" s="3" t="n">
        <v>5</v>
      </c>
    </row>
    <row r="26" customFormat="false" ht="30" hidden="false" customHeight="true" outlineLevel="0" collapsed="false">
      <c r="A26" s="2" t="s">
        <v>59</v>
      </c>
      <c r="B26" s="2" t="s">
        <v>66</v>
      </c>
      <c r="C26" s="2" t="s">
        <v>69</v>
      </c>
      <c r="D26" s="3" t="s">
        <v>14</v>
      </c>
      <c r="E26" s="3" t="s">
        <v>15</v>
      </c>
      <c r="F26" s="2"/>
      <c r="G26" s="3" t="s">
        <v>15</v>
      </c>
      <c r="H26" s="3" t="s">
        <v>68</v>
      </c>
      <c r="I26" s="3" t="s">
        <v>26</v>
      </c>
      <c r="J26" s="3"/>
      <c r="K26" s="3" t="n">
        <v>3</v>
      </c>
    </row>
    <row r="27" customFormat="false" ht="30" hidden="false" customHeight="true" outlineLevel="0" collapsed="false">
      <c r="A27" s="2" t="s">
        <v>59</v>
      </c>
      <c r="B27" s="2" t="s">
        <v>70</v>
      </c>
      <c r="C27" s="2" t="s">
        <v>71</v>
      </c>
      <c r="D27" s="3" t="s">
        <v>14</v>
      </c>
      <c r="E27" s="3" t="s">
        <v>15</v>
      </c>
      <c r="F27" s="2"/>
      <c r="G27" s="3" t="s">
        <v>15</v>
      </c>
      <c r="H27" s="3" t="s">
        <v>72</v>
      </c>
      <c r="I27" s="3" t="s">
        <v>26</v>
      </c>
      <c r="J27" s="3"/>
      <c r="K27" s="3" t="n">
        <v>4</v>
      </c>
    </row>
    <row r="28" customFormat="false" ht="30" hidden="false" customHeight="true" outlineLevel="0" collapsed="false">
      <c r="A28" s="2" t="s">
        <v>73</v>
      </c>
      <c r="B28" s="2" t="s">
        <v>74</v>
      </c>
      <c r="C28" s="2" t="s">
        <v>75</v>
      </c>
      <c r="D28" s="3" t="s">
        <v>14</v>
      </c>
      <c r="E28" s="3" t="s">
        <v>15</v>
      </c>
      <c r="F28" s="2"/>
      <c r="G28" s="3" t="s">
        <v>15</v>
      </c>
      <c r="H28" s="3" t="s">
        <v>76</v>
      </c>
      <c r="I28" s="3" t="s">
        <v>26</v>
      </c>
      <c r="J28" s="3"/>
      <c r="K28" s="3" t="n">
        <v>5</v>
      </c>
    </row>
    <row r="29" customFormat="false" ht="30" hidden="false" customHeight="true" outlineLevel="0" collapsed="false">
      <c r="A29" s="2" t="s">
        <v>73</v>
      </c>
      <c r="B29" s="2" t="s">
        <v>74</v>
      </c>
      <c r="C29" s="2" t="s">
        <v>77</v>
      </c>
      <c r="D29" s="3" t="s">
        <v>14</v>
      </c>
      <c r="E29" s="3" t="s">
        <v>15</v>
      </c>
      <c r="F29" s="2"/>
      <c r="G29" s="3" t="s">
        <v>15</v>
      </c>
      <c r="H29" s="3" t="s">
        <v>76</v>
      </c>
      <c r="I29" s="3" t="s">
        <v>26</v>
      </c>
      <c r="J29" s="3"/>
      <c r="K29" s="3" t="n">
        <v>5</v>
      </c>
    </row>
    <row r="30" customFormat="false" ht="30" hidden="false" customHeight="true" outlineLevel="0" collapsed="false">
      <c r="A30" s="2" t="s">
        <v>73</v>
      </c>
      <c r="B30" s="2" t="s">
        <v>74</v>
      </c>
      <c r="C30" s="2" t="s">
        <v>78</v>
      </c>
      <c r="D30" s="3" t="s">
        <v>39</v>
      </c>
      <c r="E30" s="3" t="s">
        <v>15</v>
      </c>
      <c r="F30" s="2"/>
      <c r="G30" s="3" t="s">
        <v>21</v>
      </c>
      <c r="H30" s="3" t="s">
        <v>76</v>
      </c>
      <c r="I30" s="3" t="s">
        <v>26</v>
      </c>
      <c r="J30" s="3"/>
      <c r="K30" s="3" t="n">
        <v>3</v>
      </c>
    </row>
    <row r="31" customFormat="false" ht="30" hidden="false" customHeight="true" outlineLevel="0" collapsed="false">
      <c r="A31" s="2" t="s">
        <v>73</v>
      </c>
      <c r="B31" s="2" t="s">
        <v>79</v>
      </c>
      <c r="C31" s="2" t="s">
        <v>80</v>
      </c>
      <c r="D31" s="3" t="s">
        <v>14</v>
      </c>
      <c r="E31" s="3" t="s">
        <v>15</v>
      </c>
      <c r="F31" s="2"/>
      <c r="G31" s="3" t="s">
        <v>15</v>
      </c>
      <c r="H31" s="3" t="s">
        <v>81</v>
      </c>
      <c r="I31" s="3" t="s">
        <v>26</v>
      </c>
      <c r="J31" s="3"/>
      <c r="K31" s="3" t="n">
        <v>3</v>
      </c>
    </row>
    <row r="32" customFormat="false" ht="30" hidden="false" customHeight="true" outlineLevel="0" collapsed="false">
      <c r="A32" s="2" t="s">
        <v>73</v>
      </c>
      <c r="B32" s="2" t="s">
        <v>79</v>
      </c>
      <c r="C32" s="2" t="s">
        <v>82</v>
      </c>
      <c r="D32" s="3" t="s">
        <v>14</v>
      </c>
      <c r="E32" s="3" t="s">
        <v>15</v>
      </c>
      <c r="F32" s="2"/>
      <c r="G32" s="3" t="s">
        <v>15</v>
      </c>
      <c r="H32" s="3" t="s">
        <v>81</v>
      </c>
      <c r="I32" s="3" t="s">
        <v>26</v>
      </c>
      <c r="J32" s="3"/>
      <c r="K32" s="3" t="n">
        <v>3</v>
      </c>
    </row>
    <row r="33" customFormat="false" ht="30" hidden="false" customHeight="true" outlineLevel="0" collapsed="false">
      <c r="A33" s="2" t="s">
        <v>73</v>
      </c>
      <c r="B33" s="2" t="s">
        <v>83</v>
      </c>
      <c r="C33" s="2" t="s">
        <v>84</v>
      </c>
      <c r="D33" s="3" t="s">
        <v>14</v>
      </c>
      <c r="E33" s="3" t="s">
        <v>15</v>
      </c>
      <c r="F33" s="2"/>
      <c r="G33" s="3" t="s">
        <v>15</v>
      </c>
      <c r="H33" s="3" t="s">
        <v>85</v>
      </c>
      <c r="I33" s="3" t="s">
        <v>26</v>
      </c>
      <c r="J33" s="3"/>
      <c r="K33" s="3" t="n">
        <v>4</v>
      </c>
    </row>
    <row r="34" customFormat="false" ht="30" hidden="false" customHeight="true" outlineLevel="0" collapsed="false">
      <c r="A34" s="2" t="s">
        <v>73</v>
      </c>
      <c r="B34" s="2" t="s">
        <v>83</v>
      </c>
      <c r="C34" s="2" t="s">
        <v>86</v>
      </c>
      <c r="D34" s="3" t="s">
        <v>39</v>
      </c>
      <c r="E34" s="3" t="s">
        <v>15</v>
      </c>
      <c r="F34" s="2"/>
      <c r="G34" s="3" t="s">
        <v>21</v>
      </c>
      <c r="H34" s="3" t="s">
        <v>85</v>
      </c>
      <c r="I34" s="3" t="s">
        <v>26</v>
      </c>
      <c r="J34" s="3"/>
      <c r="K34" s="3" t="n">
        <v>3</v>
      </c>
    </row>
    <row r="35" customFormat="false" ht="30" hidden="false" customHeight="true" outlineLevel="0" collapsed="false">
      <c r="A35" s="2" t="s">
        <v>59</v>
      </c>
      <c r="B35" s="2" t="s">
        <v>70</v>
      </c>
      <c r="C35" s="2" t="s">
        <v>87</v>
      </c>
      <c r="D35" s="3" t="s">
        <v>39</v>
      </c>
      <c r="E35" s="3" t="s">
        <v>21</v>
      </c>
      <c r="F35" s="2" t="s">
        <v>88</v>
      </c>
      <c r="G35" s="3" t="s">
        <v>21</v>
      </c>
      <c r="H35" s="3" t="s">
        <v>72</v>
      </c>
      <c r="I35" s="3" t="s">
        <v>26</v>
      </c>
      <c r="J35" s="3"/>
      <c r="K35" s="3" t="n">
        <v>3</v>
      </c>
    </row>
    <row r="36" customFormat="false" ht="30" hidden="false" customHeight="true" outlineLevel="0" collapsed="false">
      <c r="A36" s="2" t="s">
        <v>59</v>
      </c>
      <c r="B36" s="2" t="s">
        <v>66</v>
      </c>
      <c r="C36" s="2" t="s">
        <v>89</v>
      </c>
      <c r="D36" s="3" t="s">
        <v>20</v>
      </c>
      <c r="E36" s="3" t="s">
        <v>15</v>
      </c>
      <c r="F36" s="2"/>
      <c r="G36" s="3" t="s">
        <v>21</v>
      </c>
      <c r="H36" s="3" t="s">
        <v>68</v>
      </c>
      <c r="I36" s="3" t="s">
        <v>17</v>
      </c>
      <c r="J36" s="3"/>
      <c r="K36" s="3" t="n">
        <v>4</v>
      </c>
    </row>
    <row r="37" customFormat="false" ht="30" hidden="false" customHeight="true" outlineLevel="0" collapsed="false">
      <c r="A37" s="2" t="s">
        <v>90</v>
      </c>
      <c r="B37" s="2" t="s">
        <v>91</v>
      </c>
      <c r="C37" s="2" t="s">
        <v>92</v>
      </c>
      <c r="D37" s="3" t="s">
        <v>14</v>
      </c>
      <c r="E37" s="3" t="s">
        <v>15</v>
      </c>
      <c r="F37" s="2"/>
      <c r="G37" s="3" t="s">
        <v>15</v>
      </c>
      <c r="H37" s="3" t="s">
        <v>93</v>
      </c>
      <c r="I37" s="3" t="s">
        <v>26</v>
      </c>
      <c r="J37" s="3"/>
      <c r="K37" s="3" t="n">
        <v>2</v>
      </c>
    </row>
    <row r="38" customFormat="false" ht="30" hidden="false" customHeight="true" outlineLevel="0" collapsed="false">
      <c r="A38" s="2" t="s">
        <v>90</v>
      </c>
      <c r="B38" s="2" t="s">
        <v>91</v>
      </c>
      <c r="C38" s="2" t="s">
        <v>94</v>
      </c>
      <c r="D38" s="3" t="s">
        <v>14</v>
      </c>
      <c r="E38" s="3" t="s">
        <v>15</v>
      </c>
      <c r="F38" s="2"/>
      <c r="G38" s="3" t="s">
        <v>15</v>
      </c>
      <c r="H38" s="3" t="s">
        <v>93</v>
      </c>
      <c r="I38" s="3" t="s">
        <v>26</v>
      </c>
      <c r="J38" s="3"/>
      <c r="K38" s="3" t="n">
        <v>4</v>
      </c>
    </row>
    <row r="39" customFormat="false" ht="30" hidden="false" customHeight="true" outlineLevel="0" collapsed="false">
      <c r="A39" s="2" t="s">
        <v>90</v>
      </c>
      <c r="B39" s="2" t="s">
        <v>95</v>
      </c>
      <c r="C39" s="2" t="s">
        <v>96</v>
      </c>
      <c r="D39" s="3" t="s">
        <v>14</v>
      </c>
      <c r="E39" s="3" t="s">
        <v>15</v>
      </c>
      <c r="F39" s="2"/>
      <c r="G39" s="3" t="s">
        <v>15</v>
      </c>
      <c r="H39" s="3" t="s">
        <v>97</v>
      </c>
      <c r="I39" s="3" t="s">
        <v>26</v>
      </c>
      <c r="J39" s="3"/>
      <c r="K39" s="3" t="n">
        <v>4</v>
      </c>
    </row>
    <row r="40" customFormat="false" ht="30" hidden="false" customHeight="true" outlineLevel="0" collapsed="false">
      <c r="A40" s="2" t="s">
        <v>90</v>
      </c>
      <c r="B40" s="2" t="s">
        <v>95</v>
      </c>
      <c r="C40" s="2" t="s">
        <v>98</v>
      </c>
      <c r="D40" s="3" t="s">
        <v>14</v>
      </c>
      <c r="E40" s="3" t="s">
        <v>15</v>
      </c>
      <c r="F40" s="2"/>
      <c r="G40" s="3" t="s">
        <v>15</v>
      </c>
      <c r="H40" s="3" t="s">
        <v>97</v>
      </c>
      <c r="I40" s="3" t="s">
        <v>26</v>
      </c>
      <c r="J40" s="3"/>
      <c r="K40" s="3" t="n">
        <v>3</v>
      </c>
    </row>
    <row r="41" customFormat="false" ht="30" hidden="false" customHeight="true" outlineLevel="0" collapsed="false">
      <c r="A41" s="2" t="s">
        <v>90</v>
      </c>
      <c r="B41" s="2" t="s">
        <v>99</v>
      </c>
      <c r="C41" s="2" t="s">
        <v>100</v>
      </c>
      <c r="D41" s="3" t="s">
        <v>39</v>
      </c>
      <c r="E41" s="3" t="s">
        <v>15</v>
      </c>
      <c r="F41" s="2"/>
      <c r="G41" s="3" t="s">
        <v>21</v>
      </c>
      <c r="H41" s="3" t="s">
        <v>101</v>
      </c>
      <c r="I41" s="3" t="s">
        <v>26</v>
      </c>
      <c r="J41" s="3"/>
      <c r="K41" s="3" t="n">
        <v>2</v>
      </c>
    </row>
    <row r="42" customFormat="false" ht="30" hidden="false" customHeight="true" outlineLevel="0" collapsed="false">
      <c r="A42" s="2" t="s">
        <v>90</v>
      </c>
      <c r="B42" s="2" t="s">
        <v>102</v>
      </c>
      <c r="C42" s="2" t="s">
        <v>103</v>
      </c>
      <c r="D42" s="3" t="s">
        <v>14</v>
      </c>
      <c r="E42" s="3" t="s">
        <v>15</v>
      </c>
      <c r="F42" s="2"/>
      <c r="G42" s="3" t="s">
        <v>15</v>
      </c>
      <c r="H42" s="3" t="s">
        <v>104</v>
      </c>
      <c r="I42" s="3" t="s">
        <v>26</v>
      </c>
      <c r="J42" s="3"/>
      <c r="K42" s="3" t="n">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8"/>
    <col collapsed="false" customWidth="true" hidden="false" outlineLevel="0" max="4" min="3" style="0" width="16"/>
  </cols>
  <sheetData>
    <row r="1" customFormat="false" ht="15" hidden="false" customHeight="false" outlineLevel="0" collapsed="false">
      <c r="A1" s="4"/>
      <c r="B1" s="4" t="s">
        <v>105</v>
      </c>
      <c r="C1" s="4" t="s">
        <v>106</v>
      </c>
      <c r="D1" s="4" t="s">
        <v>106</v>
      </c>
    </row>
    <row r="2" customFormat="false" ht="15" hidden="false" customHeight="false" outlineLevel="0" collapsed="false">
      <c r="A2" s="5"/>
      <c r="B2" s="5"/>
      <c r="C2" s="5"/>
      <c r="D2" s="5"/>
    </row>
    <row r="3" customFormat="false" ht="15" hidden="false" customHeight="false" outlineLevel="0" collapsed="false">
      <c r="A3" s="5" t="s">
        <v>107</v>
      </c>
      <c r="B3" s="6" t="s">
        <v>108</v>
      </c>
      <c r="C3" s="5"/>
      <c r="D3" s="5"/>
    </row>
    <row r="4" customFormat="false" ht="15" hidden="false" customHeight="false" outlineLevel="0" collapsed="false">
      <c r="A4" s="5"/>
      <c r="B4" s="5" t="s">
        <v>109</v>
      </c>
      <c r="C4" s="7" t="n">
        <v>38650</v>
      </c>
      <c r="D4" s="7"/>
    </row>
    <row r="5" customFormat="false" ht="15" hidden="false" customHeight="false" outlineLevel="0" collapsed="false">
      <c r="A5" s="5"/>
      <c r="B5" s="5" t="s">
        <v>110</v>
      </c>
      <c r="C5" s="7" t="n">
        <v>6000</v>
      </c>
      <c r="D5" s="7"/>
    </row>
    <row r="6" customFormat="false" ht="15" hidden="false" customHeight="false" outlineLevel="0" collapsed="false">
      <c r="A6" s="5"/>
      <c r="B6" s="5" t="s">
        <v>111</v>
      </c>
      <c r="C6" s="7" t="n">
        <v>350</v>
      </c>
      <c r="D6" s="7"/>
    </row>
    <row r="7" customFormat="false" ht="15" hidden="false" customHeight="false" outlineLevel="0" collapsed="false">
      <c r="A7" s="5"/>
      <c r="B7" s="5"/>
      <c r="C7" s="7"/>
      <c r="D7" s="7" t="n">
        <f aca="false">SUM(C4:C6)</f>
        <v>45000</v>
      </c>
    </row>
    <row r="8" customFormat="false" ht="15" hidden="false" customHeight="false" outlineLevel="0" collapsed="false">
      <c r="A8" s="5" t="s">
        <v>112</v>
      </c>
      <c r="B8" s="6" t="s">
        <v>113</v>
      </c>
      <c r="C8" s="7"/>
      <c r="D8" s="7"/>
    </row>
    <row r="9" customFormat="false" ht="15" hidden="false" customHeight="false" outlineLevel="0" collapsed="false">
      <c r="A9" s="5"/>
      <c r="B9" s="5" t="s">
        <v>114</v>
      </c>
      <c r="C9" s="7" t="n">
        <v>39500</v>
      </c>
      <c r="D9" s="7"/>
    </row>
    <row r="10" customFormat="false" ht="23.85" hidden="false" customHeight="false" outlineLevel="0" collapsed="false">
      <c r="A10" s="5"/>
      <c r="B10" s="2" t="s">
        <v>115</v>
      </c>
      <c r="C10" s="7" t="n">
        <v>6000</v>
      </c>
      <c r="D10" s="7"/>
    </row>
    <row r="11" customFormat="false" ht="15" hidden="false" customHeight="false" outlineLevel="0" collapsed="false">
      <c r="A11" s="5"/>
      <c r="B11" s="5"/>
      <c r="C11" s="7"/>
      <c r="D11" s="7" t="n">
        <f aca="false">SUM(C9:C10)</f>
        <v>45500</v>
      </c>
    </row>
    <row r="12" customFormat="false" ht="15" hidden="false" customHeight="false" outlineLevel="0" collapsed="false">
      <c r="A12" s="5" t="s">
        <v>116</v>
      </c>
      <c r="B12" s="5" t="s">
        <v>117</v>
      </c>
      <c r="C12" s="7"/>
      <c r="D12" s="8" t="n">
        <f aca="false">D7-D11</f>
        <v>-500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5"/>
    <col collapsed="false" customWidth="true" hidden="false" outlineLevel="0" max="3" min="3" style="0" width="19"/>
    <col collapsed="false" customWidth="true" hidden="false" outlineLevel="0" max="4" min="4" style="0" width="16"/>
    <col collapsed="false" customWidth="true" hidden="false" outlineLevel="0" max="5" min="5" style="0" width="21"/>
    <col collapsed="false" customWidth="true" hidden="false" outlineLevel="0" max="6" min="6" style="0" width="27"/>
    <col collapsed="false" customWidth="true" hidden="false" outlineLevel="0" max="7" min="7" style="0" width="58"/>
  </cols>
  <sheetData>
    <row r="1" customFormat="false" ht="15" hidden="false" customHeight="true" outlineLevel="0" collapsed="false">
      <c r="A1" s="9" t="s">
        <v>118</v>
      </c>
      <c r="B1" s="9"/>
      <c r="C1" s="9"/>
      <c r="D1" s="9"/>
      <c r="E1" s="9"/>
      <c r="F1" s="9"/>
      <c r="G1" s="9"/>
    </row>
    <row r="2" customFormat="false" ht="15" hidden="false" customHeight="false" outlineLevel="0" collapsed="false">
      <c r="A2" s="9" t="s">
        <v>119</v>
      </c>
      <c r="B2" s="9" t="s">
        <v>120</v>
      </c>
      <c r="C2" s="9" t="s">
        <v>121</v>
      </c>
      <c r="D2" s="9" t="s">
        <v>122</v>
      </c>
      <c r="E2" s="9" t="s">
        <v>123</v>
      </c>
      <c r="F2" s="9" t="s">
        <v>124</v>
      </c>
      <c r="G2" s="9" t="s">
        <v>5</v>
      </c>
    </row>
    <row r="3" customFormat="false" ht="15" hidden="false" customHeight="false" outlineLevel="0" collapsed="false">
      <c r="A3" s="10" t="n">
        <v>46235</v>
      </c>
      <c r="B3" s="7" t="n">
        <v>51800</v>
      </c>
      <c r="C3" s="7" t="n">
        <v>51800</v>
      </c>
      <c r="D3" s="7" t="n">
        <f aca="false">B3-C3</f>
        <v>0</v>
      </c>
      <c r="E3" s="10" t="n">
        <v>46236</v>
      </c>
      <c r="F3" s="11" t="n">
        <f aca="false">E3-A3</f>
        <v>1</v>
      </c>
      <c r="G3" s="5"/>
    </row>
    <row r="4" customFormat="false" ht="15" hidden="false" customHeight="false" outlineLevel="0" collapsed="false">
      <c r="A4" s="10" t="n">
        <v>46236</v>
      </c>
      <c r="B4" s="7" t="n">
        <v>46900</v>
      </c>
      <c r="C4" s="7" t="n">
        <v>46900</v>
      </c>
      <c r="D4" s="7" t="n">
        <f aca="false">B4-C4</f>
        <v>0</v>
      </c>
      <c r="E4" s="10" t="n">
        <v>46237</v>
      </c>
      <c r="F4" s="11" t="n">
        <f aca="false">E4-A4</f>
        <v>1</v>
      </c>
      <c r="G4" s="5"/>
    </row>
    <row r="5" customFormat="false" ht="15" hidden="false" customHeight="false" outlineLevel="0" collapsed="false">
      <c r="A5" s="10" t="n">
        <v>46237</v>
      </c>
      <c r="B5" s="7" t="n">
        <v>29500</v>
      </c>
      <c r="C5" s="7" t="n">
        <v>29500</v>
      </c>
      <c r="D5" s="7" t="n">
        <f aca="false">B5-C5</f>
        <v>0</v>
      </c>
      <c r="E5" s="10" t="n">
        <v>46238</v>
      </c>
      <c r="F5" s="11" t="n">
        <f aca="false">E5-A5</f>
        <v>1</v>
      </c>
      <c r="G5" s="5"/>
    </row>
    <row r="6" customFormat="false" ht="15" hidden="false" customHeight="false" outlineLevel="0" collapsed="false">
      <c r="A6" s="10" t="n">
        <v>46238</v>
      </c>
      <c r="B6" s="7" t="n">
        <v>62500</v>
      </c>
      <c r="C6" s="7" t="n">
        <v>62500</v>
      </c>
      <c r="D6" s="7" t="n">
        <f aca="false">B6-C6</f>
        <v>0</v>
      </c>
      <c r="E6" s="10" t="n">
        <v>46239</v>
      </c>
      <c r="F6" s="11" t="n">
        <f aca="false">E6-A6</f>
        <v>1</v>
      </c>
      <c r="G6" s="5"/>
    </row>
    <row r="7" customFormat="false" ht="15" hidden="false" customHeight="false" outlineLevel="0" collapsed="false">
      <c r="A7" s="10" t="n">
        <v>46239</v>
      </c>
      <c r="B7" s="7" t="n">
        <v>33500</v>
      </c>
      <c r="C7" s="7" t="n">
        <v>32000</v>
      </c>
      <c r="D7" s="7" t="n">
        <f aca="false">B7-C7</f>
        <v>1500</v>
      </c>
      <c r="E7" s="10" t="n">
        <v>46240</v>
      </c>
      <c r="F7" s="11" t="n">
        <f aca="false">E7-A7</f>
        <v>1</v>
      </c>
      <c r="G7" s="5" t="s">
        <v>125</v>
      </c>
    </row>
    <row r="8" customFormat="false" ht="15" hidden="false" customHeight="false" outlineLevel="0" collapsed="false">
      <c r="A8" s="10" t="n">
        <v>46240</v>
      </c>
      <c r="B8" s="7" t="n">
        <v>23000</v>
      </c>
      <c r="C8" s="7" t="n">
        <v>23000</v>
      </c>
      <c r="D8" s="7" t="n">
        <f aca="false">B8-C8</f>
        <v>0</v>
      </c>
      <c r="E8" s="10" t="n">
        <v>46241</v>
      </c>
      <c r="F8" s="11" t="n">
        <f aca="false">E8-A8</f>
        <v>1</v>
      </c>
      <c r="G8" s="5"/>
    </row>
    <row r="9" customFormat="false" ht="15" hidden="false" customHeight="false" outlineLevel="0" collapsed="false">
      <c r="A9" s="10" t="n">
        <v>46241</v>
      </c>
      <c r="B9" s="7" t="n">
        <v>54500</v>
      </c>
      <c r="C9" s="7" t="n">
        <v>54500</v>
      </c>
      <c r="D9" s="7" t="n">
        <f aca="false">B9-C9</f>
        <v>0</v>
      </c>
      <c r="E9" s="10" t="n">
        <v>46242</v>
      </c>
      <c r="F9" s="11" t="n">
        <f aca="false">E9-A9</f>
        <v>1</v>
      </c>
      <c r="G9" s="5"/>
    </row>
    <row r="10" customFormat="false" ht="15" hidden="false" customHeight="false" outlineLevel="0" collapsed="false">
      <c r="A10" s="10" t="n">
        <v>46242</v>
      </c>
      <c r="B10" s="7" t="n">
        <v>51800</v>
      </c>
      <c r="C10" s="7" t="n">
        <v>51800</v>
      </c>
      <c r="D10" s="7" t="n">
        <f aca="false">B10-C10</f>
        <v>0</v>
      </c>
      <c r="E10" s="10" t="n">
        <v>46243</v>
      </c>
      <c r="F10" s="11" t="n">
        <f aca="false">E10-A10</f>
        <v>1</v>
      </c>
      <c r="G10" s="5"/>
    </row>
    <row r="11" customFormat="false" ht="15" hidden="false" customHeight="false" outlineLevel="0" collapsed="false">
      <c r="A11" s="10" t="n">
        <v>46243</v>
      </c>
      <c r="B11" s="7" t="n">
        <v>72100</v>
      </c>
      <c r="C11" s="7" t="n">
        <v>72100</v>
      </c>
      <c r="D11" s="7" t="n">
        <f aca="false">B11-C11</f>
        <v>0</v>
      </c>
      <c r="E11" s="10" t="n">
        <v>46244</v>
      </c>
      <c r="F11" s="11" t="n">
        <f aca="false">E11-A11</f>
        <v>1</v>
      </c>
      <c r="G11" s="5"/>
    </row>
    <row r="12" customFormat="false" ht="15" hidden="false" customHeight="false" outlineLevel="0" collapsed="false">
      <c r="A12" s="10" t="n">
        <v>46244</v>
      </c>
      <c r="B12" s="7" t="n">
        <v>49500</v>
      </c>
      <c r="C12" s="7" t="n">
        <v>49500</v>
      </c>
      <c r="D12" s="7" t="n">
        <f aca="false">B12-C12</f>
        <v>0</v>
      </c>
      <c r="E12" s="10" t="n">
        <v>46247</v>
      </c>
      <c r="F12" s="11" t="n">
        <f aca="false">E12-A12</f>
        <v>3</v>
      </c>
      <c r="G12" s="5" t="s">
        <v>126</v>
      </c>
    </row>
    <row r="13" customFormat="false" ht="15" hidden="false" customHeight="false" outlineLevel="0" collapsed="false">
      <c r="A13" s="10" t="n">
        <v>46245</v>
      </c>
      <c r="B13" s="7" t="n">
        <v>39500</v>
      </c>
      <c r="C13" s="7" t="n">
        <v>39500</v>
      </c>
      <c r="D13" s="7" t="n">
        <f aca="false">B13-C13</f>
        <v>0</v>
      </c>
      <c r="E13" s="10" t="n">
        <v>46246</v>
      </c>
      <c r="F13" s="11" t="n">
        <f aca="false">E13-A13</f>
        <v>1</v>
      </c>
      <c r="G13" s="5"/>
    </row>
    <row r="14" customFormat="false" ht="15" hidden="false" customHeight="false" outlineLevel="0" collapsed="false">
      <c r="A14" s="10" t="n">
        <v>46246</v>
      </c>
      <c r="B14" s="7" t="n">
        <v>46500</v>
      </c>
      <c r="C14" s="7" t="n">
        <v>46500</v>
      </c>
      <c r="D14" s="7" t="n">
        <f aca="false">B14-C14</f>
        <v>0</v>
      </c>
      <c r="E14" s="10" t="n">
        <v>46247</v>
      </c>
      <c r="F14" s="11" t="n">
        <f aca="false">E14-A14</f>
        <v>1</v>
      </c>
      <c r="G14" s="5"/>
    </row>
    <row r="15" customFormat="false" ht="15" hidden="false" customHeight="false" outlineLevel="0" collapsed="false">
      <c r="A15" s="10" t="n">
        <v>46247</v>
      </c>
      <c r="B15" s="7" t="n">
        <v>36000</v>
      </c>
      <c r="C15" s="7" t="n">
        <v>36000</v>
      </c>
      <c r="D15" s="7" t="n">
        <f aca="false">B15-C15</f>
        <v>0</v>
      </c>
      <c r="E15" s="10" t="n">
        <v>46248</v>
      </c>
      <c r="F15" s="11" t="n">
        <f aca="false">E15-A15</f>
        <v>1</v>
      </c>
      <c r="G15" s="5"/>
    </row>
    <row r="16" customFormat="false" ht="15" hidden="false" customHeight="false" outlineLevel="0" collapsed="false">
      <c r="A16" s="10" t="n">
        <v>46248</v>
      </c>
      <c r="B16" s="7" t="n">
        <v>56500</v>
      </c>
      <c r="C16" s="7" t="n">
        <v>56500</v>
      </c>
      <c r="D16" s="7" t="n">
        <f aca="false">B16-C16</f>
        <v>0</v>
      </c>
      <c r="E16" s="10" t="n">
        <v>46249</v>
      </c>
      <c r="F16" s="11" t="n">
        <f aca="false">E16-A16</f>
        <v>1</v>
      </c>
      <c r="G16" s="5"/>
    </row>
    <row r="17" customFormat="false" ht="15" hidden="false" customHeight="false" outlineLevel="0" collapsed="false">
      <c r="A17" s="10" t="n">
        <v>46249</v>
      </c>
      <c r="B17" s="7" t="n">
        <v>31500</v>
      </c>
      <c r="C17" s="7" t="n">
        <v>31500</v>
      </c>
      <c r="D17" s="7" t="n">
        <f aca="false">B17-C17</f>
        <v>0</v>
      </c>
      <c r="E17" s="10" t="n">
        <v>46250</v>
      </c>
      <c r="F17" s="11" t="n">
        <f aca="false">E17-A17</f>
        <v>1</v>
      </c>
      <c r="G17" s="5"/>
    </row>
    <row r="18" customFormat="false" ht="15" hidden="false" customHeight="false" outlineLevel="0" collapsed="false">
      <c r="A18" s="10" t="n">
        <v>46250</v>
      </c>
      <c r="B18" s="7" t="n">
        <v>35700</v>
      </c>
      <c r="C18" s="7" t="n">
        <v>35700</v>
      </c>
      <c r="D18" s="7" t="n">
        <f aca="false">B18-C18</f>
        <v>0</v>
      </c>
      <c r="E18" s="10" t="n">
        <v>46254</v>
      </c>
      <c r="F18" s="11" t="n">
        <f aca="false">E18-A18</f>
        <v>4</v>
      </c>
      <c r="G18" s="5" t="s">
        <v>127</v>
      </c>
    </row>
    <row r="19" customFormat="false" ht="15" hidden="false" customHeight="false" outlineLevel="0" collapsed="false">
      <c r="A19" s="10" t="n">
        <v>46251</v>
      </c>
      <c r="B19" s="7" t="n">
        <v>50500</v>
      </c>
      <c r="C19" s="7" t="n">
        <v>50500</v>
      </c>
      <c r="D19" s="7" t="n">
        <f aca="false">B19-C19</f>
        <v>0</v>
      </c>
      <c r="E19" s="10" t="n">
        <v>46254</v>
      </c>
      <c r="F19" s="11" t="n">
        <f aca="false">E19-A19</f>
        <v>3</v>
      </c>
      <c r="G19" s="5" t="s">
        <v>128</v>
      </c>
    </row>
    <row r="20" customFormat="false" ht="15" hidden="false" customHeight="false" outlineLevel="0" collapsed="false">
      <c r="A20" s="10" t="n">
        <v>46252</v>
      </c>
      <c r="B20" s="7" t="n">
        <v>44500</v>
      </c>
      <c r="C20" s="7" t="n">
        <v>44500</v>
      </c>
      <c r="D20" s="7" t="n">
        <f aca="false">B20-C20</f>
        <v>0</v>
      </c>
      <c r="E20" s="10" t="n">
        <v>46253</v>
      </c>
      <c r="F20" s="11" t="n">
        <f aca="false">E20-A20</f>
        <v>1</v>
      </c>
      <c r="G20" s="5"/>
    </row>
    <row r="21" customFormat="false" ht="15" hidden="false" customHeight="false" outlineLevel="0" collapsed="false">
      <c r="A21" s="10" t="n">
        <v>46253</v>
      </c>
      <c r="B21" s="7" t="n">
        <v>28500</v>
      </c>
      <c r="C21" s="7" t="n">
        <v>28500</v>
      </c>
      <c r="D21" s="7" t="n">
        <f aca="false">B21-C21</f>
        <v>0</v>
      </c>
      <c r="E21" s="10" t="n">
        <v>46254</v>
      </c>
      <c r="F21" s="11" t="n">
        <f aca="false">E21-A21</f>
        <v>1</v>
      </c>
      <c r="G21" s="5"/>
    </row>
    <row r="22" customFormat="false" ht="15" hidden="false" customHeight="false" outlineLevel="0" collapsed="false">
      <c r="A22" s="10" t="n">
        <v>46254</v>
      </c>
      <c r="B22" s="7" t="n">
        <v>39500</v>
      </c>
      <c r="C22" s="7" t="n">
        <v>39500</v>
      </c>
      <c r="D22" s="7" t="n">
        <f aca="false">B22-C22</f>
        <v>0</v>
      </c>
      <c r="E22" s="10" t="n">
        <v>46255</v>
      </c>
      <c r="F22" s="11" t="n">
        <f aca="false">E22-A22</f>
        <v>1</v>
      </c>
      <c r="G22" s="5"/>
    </row>
    <row r="23" customFormat="false" ht="15" hidden="false" customHeight="false" outlineLevel="0" collapsed="false">
      <c r="A23" s="10" t="n">
        <v>46255</v>
      </c>
      <c r="B23" s="7" t="n">
        <v>27500</v>
      </c>
      <c r="C23" s="7" t="n">
        <v>27500</v>
      </c>
      <c r="D23" s="7" t="n">
        <f aca="false">B23-C23</f>
        <v>0</v>
      </c>
      <c r="E23" s="10" t="n">
        <v>46256</v>
      </c>
      <c r="F23" s="11" t="n">
        <f aca="false">E23-A23</f>
        <v>1</v>
      </c>
      <c r="G23" s="5"/>
    </row>
    <row r="24" customFormat="false" ht="15" hidden="false" customHeight="false" outlineLevel="0" collapsed="false">
      <c r="A24" s="10" t="n">
        <v>46256</v>
      </c>
      <c r="B24" s="7" t="n">
        <v>68600</v>
      </c>
      <c r="C24" s="7" t="n">
        <v>68800</v>
      </c>
      <c r="D24" s="7" t="n">
        <f aca="false">B24-C24</f>
        <v>-200</v>
      </c>
      <c r="E24" s="10" t="n">
        <v>46257</v>
      </c>
      <c r="F24" s="11" t="n">
        <f aca="false">E24-A24</f>
        <v>1</v>
      </c>
      <c r="G24" s="5" t="s">
        <v>129</v>
      </c>
    </row>
    <row r="25" customFormat="false" ht="15" hidden="false" customHeight="false" outlineLevel="0" collapsed="false">
      <c r="A25" s="10" t="n">
        <v>46257</v>
      </c>
      <c r="B25" s="7" t="n">
        <v>62300</v>
      </c>
      <c r="C25" s="7" t="n">
        <v>62300</v>
      </c>
      <c r="D25" s="7" t="n">
        <f aca="false">B25-C25</f>
        <v>0</v>
      </c>
      <c r="E25" s="10" t="n">
        <v>46258</v>
      </c>
      <c r="F25" s="11" t="n">
        <f aca="false">E25-A25</f>
        <v>1</v>
      </c>
      <c r="G25" s="5"/>
    </row>
    <row r="26" customFormat="false" ht="15" hidden="false" customHeight="false" outlineLevel="0" collapsed="false">
      <c r="A26" s="10" t="n">
        <v>46258</v>
      </c>
      <c r="B26" s="7" t="n">
        <v>20500</v>
      </c>
      <c r="C26" s="7" t="n">
        <v>20500</v>
      </c>
      <c r="D26" s="7" t="n">
        <f aca="false">B26-C26</f>
        <v>0</v>
      </c>
      <c r="E26" s="10" t="n">
        <v>46259</v>
      </c>
      <c r="F26" s="11" t="n">
        <f aca="false">E26-A26</f>
        <v>1</v>
      </c>
      <c r="G26" s="5"/>
    </row>
    <row r="27" customFormat="false" ht="15" hidden="false" customHeight="false" outlineLevel="0" collapsed="false">
      <c r="A27" s="10" t="n">
        <v>46259</v>
      </c>
      <c r="B27" s="7" t="n">
        <v>60500</v>
      </c>
      <c r="C27" s="7" t="n">
        <v>60500</v>
      </c>
      <c r="D27" s="7" t="n">
        <f aca="false">B27-C27</f>
        <v>0</v>
      </c>
      <c r="E27" s="10" t="n">
        <v>46260</v>
      </c>
      <c r="F27" s="11" t="n">
        <f aca="false">E27-A27</f>
        <v>1</v>
      </c>
      <c r="G27" s="5"/>
    </row>
    <row r="28" customFormat="false" ht="15" hidden="false" customHeight="false" outlineLevel="0" collapsed="false">
      <c r="A28" s="10" t="n">
        <v>46260</v>
      </c>
      <c r="B28" s="7" t="n">
        <v>22500</v>
      </c>
      <c r="C28" s="7" t="n">
        <v>22500</v>
      </c>
      <c r="D28" s="7" t="n">
        <f aca="false">B28-C28</f>
        <v>0</v>
      </c>
      <c r="E28" s="10" t="n">
        <v>46261</v>
      </c>
      <c r="F28" s="11" t="n">
        <f aca="false">E28-A28</f>
        <v>1</v>
      </c>
      <c r="G28" s="5"/>
    </row>
    <row r="29" customFormat="false" ht="15" hidden="false" customHeight="false" outlineLevel="0" collapsed="false">
      <c r="A29" s="10" t="n">
        <v>46261</v>
      </c>
      <c r="B29" s="7" t="n">
        <v>53500</v>
      </c>
      <c r="C29" s="7" t="n">
        <v>53500</v>
      </c>
      <c r="D29" s="7" t="n">
        <f aca="false">B29-C29</f>
        <v>0</v>
      </c>
      <c r="E29" s="10" t="n">
        <v>46262</v>
      </c>
      <c r="F29" s="11" t="n">
        <f aca="false">E29-A29</f>
        <v>1</v>
      </c>
      <c r="G29" s="5"/>
    </row>
    <row r="30" customFormat="false" ht="15" hidden="false" customHeight="false" outlineLevel="0" collapsed="false">
      <c r="A30" s="10" t="n">
        <v>46262</v>
      </c>
      <c r="B30" s="7" t="n">
        <v>54500</v>
      </c>
      <c r="C30" s="7" t="n">
        <v>49500</v>
      </c>
      <c r="D30" s="7" t="n">
        <f aca="false">B30-C30</f>
        <v>5000</v>
      </c>
      <c r="E30" s="10" t="n">
        <v>46263</v>
      </c>
      <c r="F30" s="11" t="n">
        <f aca="false">E30-A30</f>
        <v>1</v>
      </c>
      <c r="G30" s="5" t="s">
        <v>130</v>
      </c>
    </row>
    <row r="31" customFormat="false" ht="15" hidden="false" customHeight="false" outlineLevel="0" collapsed="false">
      <c r="A31" s="10" t="n">
        <v>46263</v>
      </c>
      <c r="B31" s="7" t="n">
        <v>53200</v>
      </c>
      <c r="C31" s="7" t="n">
        <v>53200</v>
      </c>
      <c r="D31" s="7" t="n">
        <f aca="false">B31-C31</f>
        <v>0</v>
      </c>
      <c r="E31" s="10" t="n">
        <v>46264</v>
      </c>
      <c r="F31" s="11" t="n">
        <f aca="false">E31-A31</f>
        <v>1</v>
      </c>
      <c r="G31" s="5"/>
    </row>
    <row r="32" customFormat="false" ht="15" hidden="false" customHeight="false" outlineLevel="0" collapsed="false">
      <c r="A32" s="10" t="n">
        <v>46264</v>
      </c>
      <c r="B32" s="7" t="n">
        <v>55300</v>
      </c>
      <c r="C32" s="7" t="n">
        <v>55300</v>
      </c>
      <c r="D32" s="7" t="n">
        <f aca="false">B32-C32</f>
        <v>0</v>
      </c>
      <c r="E32" s="10" t="n">
        <v>46265</v>
      </c>
      <c r="F32" s="11" t="n">
        <f aca="false">E32-A32</f>
        <v>1</v>
      </c>
      <c r="G32" s="5"/>
    </row>
    <row r="33" customFormat="false" ht="15" hidden="false" customHeight="false" outlineLevel="0" collapsed="false">
      <c r="A33" s="10" t="n">
        <v>46265</v>
      </c>
      <c r="B33" s="7" t="n">
        <v>62000</v>
      </c>
      <c r="C33" s="7" t="n">
        <v>62000</v>
      </c>
      <c r="D33" s="7" t="n">
        <f aca="false">B33-C33</f>
        <v>0</v>
      </c>
      <c r="E33" s="10" t="n">
        <v>46266</v>
      </c>
      <c r="F33" s="11" t="n">
        <f aca="false">E33-A33</f>
        <v>1</v>
      </c>
      <c r="G33" s="5"/>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6"/>
    <col collapsed="false" customWidth="true" hidden="false" outlineLevel="0" max="4" min="3" style="0" width="13"/>
    <col collapsed="false" customWidth="true" hidden="false" outlineLevel="0" max="5" min="5" style="0" width="10"/>
    <col collapsed="false" customWidth="true" hidden="false" outlineLevel="0" max="6" min="6" style="0" width="9"/>
  </cols>
  <sheetData>
    <row r="1" customFormat="false" ht="15" hidden="false" customHeight="false" outlineLevel="0" collapsed="false">
      <c r="A1" s="12" t="s">
        <v>131</v>
      </c>
    </row>
    <row r="3" customFormat="false" ht="15" hidden="false" customHeight="false" outlineLevel="0" collapsed="false">
      <c r="A3" s="13" t="s">
        <v>132</v>
      </c>
      <c r="B3" s="13" t="s">
        <v>133</v>
      </c>
      <c r="C3" s="13" t="s">
        <v>134</v>
      </c>
      <c r="D3" s="13" t="s">
        <v>135</v>
      </c>
      <c r="E3" s="13" t="s">
        <v>136</v>
      </c>
      <c r="F3" s="13" t="s">
        <v>137</v>
      </c>
    </row>
    <row r="4" customFormat="false" ht="15" hidden="false" customHeight="false" outlineLevel="0" collapsed="false">
      <c r="A4" s="5" t="s">
        <v>138</v>
      </c>
      <c r="B4" s="5" t="s">
        <v>139</v>
      </c>
      <c r="C4" s="14" t="n">
        <v>46252</v>
      </c>
      <c r="D4" s="14" t="n">
        <v>46275</v>
      </c>
      <c r="E4" s="5" t="n">
        <v>20</v>
      </c>
      <c r="F4" s="5" t="n">
        <v>45</v>
      </c>
    </row>
    <row r="5" customFormat="false" ht="15" hidden="false" customHeight="false" outlineLevel="0" collapsed="false">
      <c r="A5" s="5" t="s">
        <v>140</v>
      </c>
      <c r="B5" s="5" t="s">
        <v>141</v>
      </c>
      <c r="C5" s="14" t="n">
        <v>46243</v>
      </c>
      <c r="D5" s="14" t="n">
        <v>46275</v>
      </c>
      <c r="E5" s="5" t="n">
        <v>19</v>
      </c>
      <c r="F5" s="5" t="n">
        <v>72</v>
      </c>
    </row>
    <row r="6" customFormat="false" ht="15" hidden="false" customHeight="false" outlineLevel="0" collapsed="false">
      <c r="A6" s="5" t="s">
        <v>142</v>
      </c>
      <c r="B6" s="5" t="s">
        <v>143</v>
      </c>
      <c r="C6" s="14" t="n">
        <v>46245</v>
      </c>
      <c r="D6" s="14" t="n">
        <v>46275</v>
      </c>
      <c r="E6" s="5" t="n">
        <v>3</v>
      </c>
      <c r="F6" s="5" t="n">
        <v>58</v>
      </c>
    </row>
    <row r="7" customFormat="false" ht="15" hidden="false" customHeight="false" outlineLevel="0" collapsed="false">
      <c r="A7" s="5" t="s">
        <v>144</v>
      </c>
      <c r="B7" s="5" t="s">
        <v>145</v>
      </c>
      <c r="C7" s="14" t="n">
        <v>46269</v>
      </c>
      <c r="D7" s="14" t="n">
        <v>46275</v>
      </c>
      <c r="E7" s="5" t="n">
        <v>9</v>
      </c>
      <c r="F7" s="5" t="n">
        <v>40</v>
      </c>
    </row>
    <row r="8" customFormat="false" ht="15" hidden="false" customHeight="false" outlineLevel="0" collapsed="false">
      <c r="A8" s="5" t="s">
        <v>146</v>
      </c>
      <c r="B8" s="5" t="s">
        <v>147</v>
      </c>
      <c r="C8" s="14" t="n">
        <v>46244</v>
      </c>
      <c r="D8" s="14" t="n">
        <v>46275</v>
      </c>
      <c r="E8" s="5" t="n">
        <v>23</v>
      </c>
      <c r="F8" s="5" t="n">
        <v>56</v>
      </c>
    </row>
    <row r="9" customFormat="false" ht="15" hidden="false" customHeight="false" outlineLevel="0" collapsed="false">
      <c r="A9" s="5" t="s">
        <v>148</v>
      </c>
      <c r="B9" s="5" t="s">
        <v>149</v>
      </c>
      <c r="C9" s="14" t="n">
        <v>46232</v>
      </c>
      <c r="D9" s="14" t="n">
        <v>46275</v>
      </c>
      <c r="E9" s="5" t="n">
        <v>3</v>
      </c>
      <c r="F9" s="5" t="n">
        <v>45</v>
      </c>
    </row>
    <row r="10" customFormat="false" ht="15" hidden="false" customHeight="false" outlineLevel="0" collapsed="false">
      <c r="A10" s="5" t="s">
        <v>150</v>
      </c>
      <c r="B10" s="5" t="s">
        <v>151</v>
      </c>
      <c r="C10" s="14" t="n">
        <v>46271</v>
      </c>
      <c r="D10" s="14" t="n">
        <v>46275</v>
      </c>
      <c r="E10" s="5" t="n">
        <v>24</v>
      </c>
      <c r="F10" s="5" t="n">
        <v>95</v>
      </c>
    </row>
    <row r="11" customFormat="false" ht="15" hidden="false" customHeight="false" outlineLevel="0" collapsed="false">
      <c r="A11" s="5" t="s">
        <v>152</v>
      </c>
      <c r="B11" s="5" t="s">
        <v>153</v>
      </c>
      <c r="C11" s="14" t="n">
        <v>46230</v>
      </c>
      <c r="D11" s="14" t="n">
        <v>46275</v>
      </c>
      <c r="E11" s="5" t="n">
        <v>10</v>
      </c>
      <c r="F11" s="5" t="n">
        <v>60</v>
      </c>
    </row>
    <row r="12" customFormat="false" ht="15" hidden="false" customHeight="false" outlineLevel="0" collapsed="false">
      <c r="A12" s="5" t="s">
        <v>154</v>
      </c>
      <c r="B12" s="5" t="s">
        <v>155</v>
      </c>
      <c r="C12" s="14" t="n">
        <v>46233</v>
      </c>
      <c r="D12" s="14" t="n">
        <v>46275</v>
      </c>
      <c r="E12" s="5" t="n">
        <v>19</v>
      </c>
      <c r="F12" s="5" t="n">
        <v>130</v>
      </c>
    </row>
    <row r="13" customFormat="false" ht="15" hidden="false" customHeight="false" outlineLevel="0" collapsed="false">
      <c r="A13" s="5" t="s">
        <v>156</v>
      </c>
      <c r="B13" s="5" t="s">
        <v>157</v>
      </c>
      <c r="C13" s="14" t="n">
        <v>46231</v>
      </c>
      <c r="D13" s="14" t="n">
        <v>46275</v>
      </c>
      <c r="E13" s="5" t="n">
        <v>15</v>
      </c>
      <c r="F13" s="5" t="n">
        <v>210</v>
      </c>
    </row>
    <row r="14" customFormat="false" ht="15" hidden="false" customHeight="false" outlineLevel="0" collapsed="false">
      <c r="A14" s="5" t="s">
        <v>158</v>
      </c>
      <c r="B14" s="5" t="s">
        <v>159</v>
      </c>
      <c r="C14" s="14" t="n">
        <v>46256</v>
      </c>
      <c r="D14" s="14" t="n">
        <v>46275</v>
      </c>
      <c r="E14" s="5" t="n">
        <v>23</v>
      </c>
      <c r="F14" s="5" t="n">
        <v>199</v>
      </c>
    </row>
    <row r="15" customFormat="false" ht="15" hidden="false" customHeight="false" outlineLevel="0" collapsed="false">
      <c r="A15" s="5" t="s">
        <v>160</v>
      </c>
      <c r="B15" s="5" t="s">
        <v>161</v>
      </c>
      <c r="C15" s="14" t="n">
        <v>46250</v>
      </c>
      <c r="D15" s="14" t="n">
        <v>46275</v>
      </c>
      <c r="E15" s="5" t="n">
        <v>22</v>
      </c>
      <c r="F15" s="5" t="n">
        <v>245</v>
      </c>
    </row>
    <row r="16" customFormat="false" ht="15" hidden="false" customHeight="false" outlineLevel="0" collapsed="false">
      <c r="A16" s="5" t="s">
        <v>162</v>
      </c>
      <c r="B16" s="5" t="s">
        <v>163</v>
      </c>
      <c r="C16" s="14" t="n">
        <v>46252</v>
      </c>
      <c r="D16" s="14" t="n">
        <v>46275</v>
      </c>
      <c r="E16" s="5" t="n">
        <v>1</v>
      </c>
      <c r="F16" s="5" t="n">
        <v>80</v>
      </c>
    </row>
    <row r="17" customFormat="false" ht="15" hidden="false" customHeight="false" outlineLevel="0" collapsed="false">
      <c r="A17" s="5" t="s">
        <v>164</v>
      </c>
      <c r="B17" s="5" t="s">
        <v>165</v>
      </c>
      <c r="C17" s="14" t="n">
        <v>46245</v>
      </c>
      <c r="D17" s="14" t="n">
        <v>46275</v>
      </c>
      <c r="E17" s="5" t="n">
        <v>12</v>
      </c>
      <c r="F17" s="5" t="n">
        <v>110</v>
      </c>
    </row>
    <row r="18" customFormat="false" ht="15" hidden="false" customHeight="false" outlineLevel="0" collapsed="false">
      <c r="A18" s="5" t="s">
        <v>166</v>
      </c>
      <c r="B18" s="5" t="s">
        <v>167</v>
      </c>
      <c r="C18" s="14" t="n">
        <v>46264</v>
      </c>
      <c r="D18" s="14" t="n">
        <v>46275</v>
      </c>
      <c r="E18" s="5" t="n">
        <v>20</v>
      </c>
      <c r="F18" s="5" t="n">
        <v>175</v>
      </c>
    </row>
    <row r="19" customFormat="false" ht="15" hidden="false" customHeight="false" outlineLevel="0" collapsed="false">
      <c r="A19" s="5" t="s">
        <v>168</v>
      </c>
      <c r="B19" s="5" t="s">
        <v>169</v>
      </c>
      <c r="C19" s="14" t="n">
        <v>46267</v>
      </c>
      <c r="D19" s="14" t="n">
        <v>46275</v>
      </c>
      <c r="E19" s="5" t="n">
        <v>16</v>
      </c>
      <c r="F19" s="5" t="n">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2026-09-21T06:20:26Z</dcterms:created>
  <dc:creator>openpyxl</dc:creator>
  <dc:description/>
  <dc:language>en-US</dc:language>
  <cp:lastModifiedBy/>
  <dcterms:modified xsi:type="dcterms:W3CDTF">2026-09-21T06:20:26Z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